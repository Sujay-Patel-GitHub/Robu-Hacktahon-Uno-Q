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475569"/>
      </top>
      <bottom style="double">
        <color rgb="0047556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30" customWidth="1" min="2" max="2"/>
    <col width="46" customWidth="1" min="3" max="3"/>
    <col width="12" customWidth="1" min="4" max="4"/>
    <col width="18" customWidth="1" min="5" max="5"/>
    <col width="17" customWidth="1" min="6" max="6"/>
  </cols>
  <sheetData>
    <row r="1">
      <c r="A1" s="1" t="inlineStr">
        <is>
          <t>BILL OF MATERIALS (BOM) - KATARIA ARCADE PROJECT</t>
        </is>
      </c>
    </row>
    <row r="2">
      <c r="A2" s="2" t="inlineStr">
        <is>
          <t>Client: Sandhi Cement (10th Floor Gallery Installation) | Platform: Arduino UNO Q</t>
        </is>
      </c>
    </row>
    <row r="3"/>
    <row r="4">
      <c r="A4" s="3" t="inlineStr">
        <is>
          <t>Category</t>
        </is>
      </c>
      <c r="B4" s="3" t="inlineStr">
        <is>
          <t>Item Description</t>
        </is>
      </c>
      <c r="C4" s="3" t="inlineStr">
        <is>
          <t>Specifications / Model</t>
        </is>
      </c>
      <c r="D4" s="3" t="inlineStr">
        <is>
          <t>Qty</t>
        </is>
      </c>
      <c r="E4" s="3" t="inlineStr">
        <is>
          <t>Unit Cost (INR)</t>
        </is>
      </c>
      <c r="F4" s="3" t="inlineStr">
        <is>
          <t>Subtotal (INR)</t>
        </is>
      </c>
    </row>
    <row r="5">
      <c r="A5" s="4" t="inlineStr">
        <is>
          <t>Electronics</t>
        </is>
      </c>
      <c r="B5" s="4" t="inlineStr">
        <is>
          <t>Arduino® UNO™ Q Board</t>
        </is>
      </c>
      <c r="C5" s="4" t="inlineStr">
        <is>
          <t>Hybrid MPU+MCU Development Board</t>
        </is>
      </c>
      <c r="D5" s="5" t="n">
        <v>1</v>
      </c>
      <c r="E5" s="6" t="n">
        <v>5999</v>
      </c>
      <c r="F5" s="6">
        <f>D5*E5</f>
        <v/>
      </c>
    </row>
    <row r="6">
      <c r="A6" s="7" t="inlineStr">
        <is>
          <t>Electronics</t>
        </is>
      </c>
      <c r="B6" s="7" t="inlineStr">
        <is>
          <t>Sharp GP2Y0A02YK0F</t>
        </is>
      </c>
      <c r="C6" s="7" t="inlineStr">
        <is>
          <t>Analog IR Distance Sensors (20-150cm)</t>
        </is>
      </c>
      <c r="D6" s="8" t="n">
        <v>4</v>
      </c>
      <c r="E6" s="9" t="n">
        <v>599</v>
      </c>
      <c r="F6" s="9">
        <f>D6*E6</f>
        <v/>
      </c>
    </row>
    <row r="7">
      <c r="A7" s="4" t="inlineStr">
        <is>
          <t>Electronics</t>
        </is>
      </c>
      <c r="B7" s="4" t="inlineStr">
        <is>
          <t>8-Channel Relay Module</t>
        </is>
      </c>
      <c r="C7" s="4" t="inlineStr">
        <is>
          <t>5V Optocoupler Isolated Board</t>
        </is>
      </c>
      <c r="D7" s="5" t="n">
        <v>1</v>
      </c>
      <c r="E7" s="6" t="n">
        <v>450</v>
      </c>
      <c r="F7" s="6">
        <f>D7*E7</f>
        <v/>
      </c>
    </row>
    <row r="8">
      <c r="A8" s="7" t="inlineStr">
        <is>
          <t>Electronics</t>
        </is>
      </c>
      <c r="B8" s="7" t="inlineStr">
        <is>
          <t>LM2596 DC-DC Buck Converter</t>
        </is>
      </c>
      <c r="C8" s="7" t="inlineStr">
        <is>
          <t>Step-down regulator (12V to 5V for relays)</t>
        </is>
      </c>
      <c r="D8" s="8" t="n">
        <v>1</v>
      </c>
      <c r="E8" s="9" t="n">
        <v>120</v>
      </c>
      <c r="F8" s="9">
        <f>D8*E8</f>
        <v/>
      </c>
    </row>
    <row r="9">
      <c r="A9" s="4" t="inlineStr">
        <is>
          <t>Wiring</t>
        </is>
      </c>
      <c r="B9" s="4" t="inlineStr">
        <is>
          <t>12V 2A DC Power Adapter</t>
        </is>
      </c>
      <c r="C9" s="4" t="inlineStr">
        <is>
          <t>FR-Grade supply for controller &amp; relays</t>
        </is>
      </c>
      <c r="D9" s="5" t="n">
        <v>1</v>
      </c>
      <c r="E9" s="6" t="n">
        <v>350</v>
      </c>
      <c r="F9" s="6">
        <f>D9*E9</f>
        <v/>
      </c>
    </row>
    <row r="10">
      <c r="A10" s="7" t="inlineStr">
        <is>
          <t>Wiring</t>
        </is>
      </c>
      <c r="B10" s="7" t="inlineStr">
        <is>
          <t>Solid Core Copper Wire Lot</t>
        </is>
      </c>
      <c r="C10" s="7" t="inlineStr">
        <is>
          <t>Red/Black/Yellow/Blue (10m each)</t>
        </is>
      </c>
      <c r="D10" s="8" t="n">
        <v>1</v>
      </c>
      <c r="E10" s="9" t="n">
        <v>250</v>
      </c>
      <c r="F10" s="9">
        <f>D10*E10</f>
        <v/>
      </c>
    </row>
    <row r="11">
      <c r="A11" s="4" t="inlineStr">
        <is>
          <t>Wiring</t>
        </is>
      </c>
      <c r="B11" s="4" t="inlineStr">
        <is>
          <t>3-Core AC Mains Cable</t>
        </is>
      </c>
      <c r="C11" s="4" t="inlineStr">
        <is>
          <t>1.5 sq mm copper wire for spotlights (15m)</t>
        </is>
      </c>
      <c r="D11" s="5" t="n">
        <v>1</v>
      </c>
      <c r="E11" s="6" t="n">
        <v>450</v>
      </c>
      <c r="F11" s="6">
        <f>D11*E11</f>
        <v/>
      </c>
    </row>
    <row r="12">
      <c r="A12" s="7" t="inlineStr">
        <is>
          <t>Hardware</t>
        </is>
      </c>
      <c r="B12" s="7" t="inlineStr">
        <is>
          <t>Custom Acrylic Enclosure</t>
        </is>
      </c>
      <c r="C12" s="7" t="inlineStr">
        <is>
          <t>Laser-cut clear sheets for wall mount</t>
        </is>
      </c>
      <c r="D12" s="8" t="n">
        <v>1</v>
      </c>
      <c r="E12" s="9" t="n">
        <v>600</v>
      </c>
      <c r="F12" s="9">
        <f>D12*E12</f>
        <v/>
      </c>
    </row>
    <row r="13">
      <c r="A13" s="4" t="inlineStr">
        <is>
          <t>Hardware</t>
        </is>
      </c>
      <c r="B13" s="4" t="inlineStr">
        <is>
          <t>Brass Standoffs &amp; M3 Screws</t>
        </is>
      </c>
      <c r="C13" s="4" t="inlineStr">
        <is>
          <t>Board mounting standoff kit (50pcs)</t>
        </is>
      </c>
      <c r="D13" s="5" t="n">
        <v>1</v>
      </c>
      <c r="E13" s="6" t="n">
        <v>150</v>
      </c>
      <c r="F13" s="6">
        <f>D13*E13</f>
        <v/>
      </c>
    </row>
    <row r="14">
      <c r="A14" s="7" t="inlineStr">
        <is>
          <t>Hardware</t>
        </is>
      </c>
      <c r="B14" s="7" t="inlineStr">
        <is>
          <t>Cable Ties &amp; Mounting Clips</t>
        </is>
      </c>
      <c r="C14" s="7" t="inlineStr">
        <is>
          <t>Nylon wire management pack (100pcs)</t>
        </is>
      </c>
      <c r="D14" s="8" t="n">
        <v>1</v>
      </c>
      <c r="E14" s="9" t="n">
        <v>100</v>
      </c>
      <c r="F14" s="9">
        <f>D14*E14</f>
        <v/>
      </c>
    </row>
    <row r="15">
      <c r="A15" s="4" t="inlineStr">
        <is>
          <t>Lighting</t>
        </is>
      </c>
      <c r="B15" s="4" t="inlineStr">
        <is>
          <t>10W COB LED Spotlights</t>
        </is>
      </c>
      <c r="C15" s="4" t="inlineStr">
        <is>
          <t>Warm White high-CRI spotlights</t>
        </is>
      </c>
      <c r="D15" s="5" t="n">
        <v>7</v>
      </c>
      <c r="E15" s="6" t="n">
        <v>500</v>
      </c>
      <c r="F15" s="6">
        <f>D15*E15</f>
        <v/>
      </c>
    </row>
    <row r="16">
      <c r="A16" s="7" t="inlineStr">
        <is>
          <t>Tools/Consumables</t>
        </is>
      </c>
      <c r="B16" s="7" t="inlineStr">
        <is>
          <t>Wire Stripper &amp; Cutter</t>
        </is>
      </c>
      <c r="C16" s="7" t="inlineStr">
        <is>
          <t>Multifunctional hand tool</t>
        </is>
      </c>
      <c r="D16" s="8" t="n">
        <v>1</v>
      </c>
      <c r="E16" s="9" t="n">
        <v>250</v>
      </c>
      <c r="F16" s="9">
        <f>D16*E16</f>
        <v/>
      </c>
    </row>
    <row r="17">
      <c r="A17" s="4" t="inlineStr">
        <is>
          <t>Tools/Consumables</t>
        </is>
      </c>
      <c r="B17" s="4" t="inlineStr">
        <is>
          <t>60W Soldering Iron Kit</t>
        </is>
      </c>
      <c r="C17" s="4" t="inlineStr">
        <is>
          <t>Temp-controlled iron with solder &amp; flux</t>
        </is>
      </c>
      <c r="D17" s="5" t="n">
        <v>1</v>
      </c>
      <c r="E17" s="6" t="n">
        <v>650</v>
      </c>
      <c r="F17" s="6">
        <f>D17*E17</f>
        <v/>
      </c>
    </row>
    <row r="18">
      <c r="A18" s="7" t="inlineStr">
        <is>
          <t>Tools/Consumables</t>
        </is>
      </c>
      <c r="B18" s="7" t="inlineStr">
        <is>
          <t>Heat Shrink Tubing Kit</t>
        </is>
      </c>
      <c r="C18" s="7" t="inlineStr">
        <is>
          <t>Flame-retardant insulating sleeves (127pcs)</t>
        </is>
      </c>
      <c r="D18" s="8" t="n">
        <v>1</v>
      </c>
      <c r="E18" s="9" t="n">
        <v>150</v>
      </c>
      <c r="F18" s="9">
        <f>D18*E18</f>
        <v/>
      </c>
    </row>
    <row r="19">
      <c r="A19" s="4" t="inlineStr">
        <is>
          <t>Tools/Consumables</t>
        </is>
      </c>
      <c r="B19" s="4" t="inlineStr">
        <is>
          <t>Nitto Electrical Tape</t>
        </is>
      </c>
      <c r="C19" s="4" t="inlineStr">
        <is>
          <t>FR Grade Insulation tape (2 rolls)</t>
        </is>
      </c>
      <c r="D19" s="5" t="n">
        <v>2</v>
      </c>
      <c r="E19" s="6" t="n">
        <v>40</v>
      </c>
      <c r="F19" s="6">
        <f>D19*E19</f>
        <v/>
      </c>
    </row>
    <row r="20">
      <c r="A20" s="7" t="inlineStr">
        <is>
          <t>Tools/Consumables</t>
        </is>
      </c>
      <c r="B20" s="7" t="inlineStr">
        <is>
          <t>Hot Melt Glue Gun</t>
        </is>
      </c>
      <c r="C20" s="7" t="inlineStr">
        <is>
          <t>100W glue gun with 10 sticks</t>
        </is>
      </c>
      <c r="D20" s="8" t="n">
        <v>1</v>
      </c>
      <c r="E20" s="9" t="n">
        <v>350</v>
      </c>
      <c r="F20" s="9">
        <f>D20*E20</f>
        <v/>
      </c>
    </row>
    <row r="21">
      <c r="B21" s="10" t="inlineStr">
        <is>
          <t>GRAND TOTAL</t>
        </is>
      </c>
      <c r="F21" s="11">
        <f>SUM(F5:F20)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2026-08-23T17:05:13Z</dcterms:created>
  <dcterms:modified xmlns:dcterms="http://purl.org/dc/terms/" xmlns:xsi="http://www.w3.org/2001/XMLSchema-instance" xsi:type="dcterms:W3CDTF">2026-08-23T17:05:13Z</dcterms:modified>
</cp:coreProperties>
</file>